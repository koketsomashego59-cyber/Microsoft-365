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stonco-my.sharepoint.com/personal/06ha2506680_myboston_co_za/Documents/"/>
    </mc:Choice>
  </mc:AlternateContent>
  <xr:revisionPtr revIDLastSave="0" documentId="8_{FFAFB8D8-F1C4-6C4C-94A3-8494373F4E79}" xr6:coauthVersionLast="47" xr6:coauthVersionMax="47" xr10:uidLastSave="{00000000-0000-0000-0000-000000000000}"/>
  <bookViews>
    <workbookView xWindow="-108" yWindow="-108" windowWidth="23256" windowHeight="12576" xr2:uid="{81C3F7A2-5972-475D-9A40-D42FD77BFA99}"/>
  </bookViews>
  <sheets>
    <sheet name="Q1 1.1" sheetId="1" r:id="rId1"/>
    <sheet name="1.2" sheetId="2" r:id="rId2"/>
    <sheet name="1.3" sheetId="3" r:id="rId3"/>
    <sheet name="1.4" sheetId="4" r:id="rId4"/>
    <sheet name="1.5" sheetId="5" r:id="rId5"/>
    <sheet name="1.6" sheetId="6" r:id="rId6"/>
    <sheet name="1.7" sheetId="7" r:id="rId7"/>
    <sheet name="Q2.1" sheetId="9" r:id="rId8"/>
    <sheet name="2.2" sheetId="10" r:id="rId9"/>
    <sheet name="2.3" sheetId="11" r:id="rId10"/>
    <sheet name="Q3 3.1 " sheetId="13" r:id="rId11"/>
    <sheet name="3.2" sheetId="14" r:id="rId12"/>
    <sheet name="3.3" sheetId="16" r:id="rId13"/>
    <sheet name="3.4" sheetId="18" r:id="rId14"/>
    <sheet name="3.5" sheetId="20" r:id="rId15"/>
    <sheet name="3.6" sheetId="23" r:id="rId16"/>
    <sheet name="Q4 4.1" sheetId="22" r:id="rId17"/>
    <sheet name="4.2" sheetId="25" r:id="rId18"/>
  </sheets>
  <definedNames>
    <definedName name="solver_adj" localSheetId="17" hidden="1">'4.2'!$B$2:$C$2</definedName>
    <definedName name="solver_cvg" localSheetId="17" hidden="1">0.0001</definedName>
    <definedName name="solver_drv" localSheetId="17" hidden="1">2</definedName>
    <definedName name="solver_eng" localSheetId="17" hidden="1">1</definedName>
    <definedName name="solver_est" localSheetId="17" hidden="1">1</definedName>
    <definedName name="solver_itr" localSheetId="17" hidden="1">2147483647</definedName>
    <definedName name="solver_lhs1" localSheetId="17" hidden="1">'4.2'!$A$2</definedName>
    <definedName name="solver_mip" localSheetId="17" hidden="1">2147483647</definedName>
    <definedName name="solver_mni" localSheetId="17" hidden="1">30</definedName>
    <definedName name="solver_mrt" localSheetId="17" hidden="1">0.075</definedName>
    <definedName name="solver_msl" localSheetId="17" hidden="1">2</definedName>
    <definedName name="solver_neg" localSheetId="17" hidden="1">1</definedName>
    <definedName name="solver_nod" localSheetId="17" hidden="1">2147483647</definedName>
    <definedName name="solver_num" localSheetId="17" hidden="1">1</definedName>
    <definedName name="solver_nwt" localSheetId="17" hidden="1">1</definedName>
    <definedName name="solver_opt" localSheetId="17" hidden="1">'4.2'!$D$2</definedName>
    <definedName name="solver_pre" localSheetId="17" hidden="1">0.000001</definedName>
    <definedName name="solver_rbv" localSheetId="17" hidden="1">2</definedName>
    <definedName name="solver_rel1" localSheetId="17" hidden="1">1</definedName>
    <definedName name="solver_rhs1" localSheetId="17" hidden="1">30</definedName>
    <definedName name="solver_rlx" localSheetId="17" hidden="1">2</definedName>
    <definedName name="solver_rsd" localSheetId="17" hidden="1">0</definedName>
    <definedName name="solver_scl" localSheetId="17" hidden="1">2</definedName>
    <definedName name="solver_sho" localSheetId="17" hidden="1">2</definedName>
    <definedName name="solver_ssz" localSheetId="17" hidden="1">100</definedName>
    <definedName name="solver_tim" localSheetId="17" hidden="1">2147483647</definedName>
    <definedName name="solver_tol" localSheetId="17" hidden="1">0.01</definedName>
    <definedName name="solver_typ" localSheetId="17" hidden="1">3</definedName>
    <definedName name="solver_val" localSheetId="17" hidden="1">30000</definedName>
    <definedName name="solver_ver" localSheetId="17" hidden="1">3</definedName>
    <definedName name="VATE_RATE">'1.6'!$I:$I</definedName>
  </definedNames>
  <calcPr calcId="191028"/>
  <pivotCaches>
    <pivotCache cacheId="0" r:id="rId19"/>
    <pivotCache cacheId="1" r:id="rId20"/>
    <pivotCache cacheId="2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5" l="1"/>
  <c r="C2" i="22"/>
  <c r="G3" i="10"/>
  <c r="G4" i="10"/>
  <c r="G5" i="10"/>
  <c r="G6" i="10"/>
  <c r="G7" i="10"/>
  <c r="G8" i="10"/>
  <c r="F3" i="10"/>
  <c r="F4" i="10"/>
  <c r="F5" i="10"/>
  <c r="F6" i="10"/>
  <c r="F7" i="10"/>
  <c r="F8" i="10"/>
  <c r="G4" i="11"/>
  <c r="G3" i="11"/>
  <c r="H3" i="5"/>
  <c r="H7" i="5"/>
  <c r="F4" i="9"/>
  <c r="F5" i="9"/>
  <c r="F6" i="9"/>
  <c r="F7" i="9"/>
  <c r="F8" i="9"/>
  <c r="I3" i="7"/>
  <c r="I7" i="7"/>
  <c r="I6" i="7"/>
  <c r="I5" i="7"/>
  <c r="I4" i="7"/>
  <c r="H4" i="7"/>
  <c r="H5" i="7"/>
  <c r="H6" i="7"/>
  <c r="H7" i="7"/>
  <c r="H3" i="7"/>
  <c r="H4" i="5"/>
  <c r="H5" i="5"/>
  <c r="H6" i="5"/>
</calcChain>
</file>

<file path=xl/sharedStrings.xml><?xml version="1.0" encoding="utf-8"?>
<sst xmlns="http://schemas.openxmlformats.org/spreadsheetml/2006/main" count="270" uniqueCount="69">
  <si>
    <t>David's Daily Store</t>
  </si>
  <si>
    <t>Product</t>
  </si>
  <si>
    <t>Unit Price</t>
  </si>
  <si>
    <t>Week 1</t>
  </si>
  <si>
    <t>Week 2</t>
  </si>
  <si>
    <t>Week 3</t>
  </si>
  <si>
    <t>Week 4</t>
  </si>
  <si>
    <t>Total Units Sold</t>
  </si>
  <si>
    <t>Total Revenue</t>
  </si>
  <si>
    <t>VAT Amount</t>
  </si>
  <si>
    <t>Apples</t>
  </si>
  <si>
    <t>Bananas</t>
  </si>
  <si>
    <t>Bread</t>
  </si>
  <si>
    <t>Milk</t>
  </si>
  <si>
    <t>Eggs(Dozen)</t>
  </si>
  <si>
    <t xml:space="preserve">Apples </t>
  </si>
  <si>
    <t>Fitness Center Trainer Performance &amp; Bonuses</t>
  </si>
  <si>
    <t>Trainer</t>
  </si>
  <si>
    <t>Trainer Level</t>
  </si>
  <si>
    <t>Liam</t>
  </si>
  <si>
    <t>Gold</t>
  </si>
  <si>
    <t>VLOOKUP</t>
  </si>
  <si>
    <t xml:space="preserve">Ava </t>
  </si>
  <si>
    <t>Silver</t>
  </si>
  <si>
    <t>Noah</t>
  </si>
  <si>
    <t xml:space="preserve"> Bronze</t>
  </si>
  <si>
    <t>Ava</t>
  </si>
  <si>
    <t>Olivia</t>
  </si>
  <si>
    <t>Oliver</t>
  </si>
  <si>
    <t>Ethan</t>
  </si>
  <si>
    <t>Sophia</t>
  </si>
  <si>
    <t>Monthly Salary</t>
  </si>
  <si>
    <t>Clients Trained</t>
  </si>
  <si>
    <t>Bronze</t>
  </si>
  <si>
    <t>Bonus%</t>
  </si>
  <si>
    <t>Target Client</t>
  </si>
  <si>
    <t xml:space="preserve"> Silver</t>
  </si>
  <si>
    <t>IF Function</t>
  </si>
  <si>
    <t xml:space="preserve">total salary paid </t>
  </si>
  <si>
    <t>Total</t>
  </si>
  <si>
    <t>Calculations</t>
  </si>
  <si>
    <t>FitLife Gym Chain Data</t>
  </si>
  <si>
    <t>Branch</t>
  </si>
  <si>
    <t>City</t>
  </si>
  <si>
    <t>Memembership Fees Collected</t>
  </si>
  <si>
    <t>North</t>
  </si>
  <si>
    <t>West</t>
  </si>
  <si>
    <t>East</t>
  </si>
  <si>
    <t>Central</t>
  </si>
  <si>
    <t>Elite</t>
  </si>
  <si>
    <t>Durban</t>
  </si>
  <si>
    <t>Johannesburg</t>
  </si>
  <si>
    <t>Cape Town</t>
  </si>
  <si>
    <t>Sum of Memembership Fees Collected</t>
  </si>
  <si>
    <t>Row Labels</t>
  </si>
  <si>
    <t>(blank)</t>
  </si>
  <si>
    <t>Grand Total</t>
  </si>
  <si>
    <t>Personal Traning Revenue</t>
  </si>
  <si>
    <t>Operational Expenses</t>
  </si>
  <si>
    <t>Sum of Personal Traning Revenue</t>
  </si>
  <si>
    <t>Sum of Operational Expenses</t>
  </si>
  <si>
    <t>Equipment Maintenance</t>
  </si>
  <si>
    <t>Sum of Equipment Maintenance</t>
  </si>
  <si>
    <t>goal</t>
  </si>
  <si>
    <t>Cost of producing smoothie each</t>
  </si>
  <si>
    <t>combos must sell daily</t>
  </si>
  <si>
    <t xml:space="preserve">cost of producing each smoothie combo </t>
  </si>
  <si>
    <t>currently selling per day</t>
  </si>
  <si>
    <t>Selling Price for each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</si>
</sst>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\ #,##0;[Red]&quot;R&quot;\ \-#,##0"/>
    <numFmt numFmtId="165" formatCode="&quot;R&quot;\ #,##0.00;[Red]&quot;R&quot;\ \-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21" Type="http://schemas.openxmlformats.org/officeDocument/2006/relationships/pivotCacheDefinition" Target="pivotCache/pivotCacheDefinition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pivotCacheDefinition" Target="pivotCache/pivotCacheDefinition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tyles" Target="styles.xml" /><Relationship Id="rId28" Type="http://schemas.openxmlformats.org/officeDocument/2006/relationships/customXml" Target="../customXml/item3.xml" /><Relationship Id="rId10" Type="http://schemas.openxmlformats.org/officeDocument/2006/relationships/worksheet" Target="worksheets/sheet10.xml" /><Relationship Id="rId19" Type="http://schemas.openxmlformats.org/officeDocument/2006/relationships/pivotCacheDefinition" Target="pivotCache/pivotCacheDefinition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theme" Target="theme/theme1.xml" /><Relationship Id="rId27" Type="http://schemas.openxmlformats.org/officeDocument/2006/relationships/customXml" Target="../customXml/item2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[FA2 Excel Koketso Mashego.xlsx]3.4!PivotTable5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'3.4'!$B$1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'3.4'!$A$2:$A$10</c:f>
              <c:multiLvlStrCache>
                <c:ptCount val="5"/>
                <c:lvl>
                  <c:pt idx="0">
                    <c:v>North</c:v>
                  </c:pt>
                  <c:pt idx="1">
                    <c:v>Central</c:v>
                  </c:pt>
                  <c:pt idx="2">
                    <c:v>Elite</c:v>
                  </c:pt>
                  <c:pt idx="3">
                    <c:v>East</c:v>
                  </c:pt>
                  <c:pt idx="4">
                    <c:v>West</c:v>
                  </c:pt>
                </c:lvl>
                <c:lvl>
                  <c:pt idx="0">
                    <c:v>Cape Town</c:v>
                  </c:pt>
                  <c:pt idx="1">
                    <c:v>Durban</c:v>
                  </c:pt>
                  <c:pt idx="3">
                    <c:v>Johannesburg</c:v>
                  </c:pt>
                </c:lvl>
              </c:multiLvlStrCache>
            </c:multiLvlStrRef>
          </c:cat>
          <c:val>
            <c:numRef>
              <c:f>'3.4'!$B$2:$B$10</c:f>
              <c:numCache>
                <c:formatCode>General</c:formatCode>
                <c:ptCount val="5"/>
                <c:pt idx="0">
                  <c:v>12500</c:v>
                </c:pt>
                <c:pt idx="1">
                  <c:v>6500</c:v>
                </c:pt>
                <c:pt idx="2">
                  <c:v>7000</c:v>
                </c:pt>
                <c:pt idx="3">
                  <c:v>8000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E-4432-AD50-7A8EB8AF7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3276287"/>
        <c:axId val="2083271295"/>
        <c:axId val="0"/>
      </c:bar3DChart>
      <c:catAx>
        <c:axId val="208327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71295"/>
        <c:crosses val="autoZero"/>
        <c:auto val="1"/>
        <c:lblAlgn val="ctr"/>
        <c:lblOffset val="100"/>
        <c:noMultiLvlLbl val="0"/>
      </c:catAx>
      <c:valAx>
        <c:axId val="20832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7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[FA2 Excel Koketso Mashego.xlsx]3.5!PivotTable7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'3.5'!$B$1</c:f>
              <c:strCache>
                <c:ptCount val="1"/>
                <c:pt idx="0">
                  <c:v>Sum of Operational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'3.5'!$A$2:$A$5</c:f>
              <c:strCache>
                <c:ptCount val="3"/>
                <c:pt idx="0">
                  <c:v>Cape Town</c:v>
                </c:pt>
                <c:pt idx="1">
                  <c:v>Durban</c:v>
                </c:pt>
                <c:pt idx="2">
                  <c:v>Johannesburg</c:v>
                </c:pt>
              </c:strCache>
            </c:strRef>
          </c:cat>
          <c:val>
            <c:numRef>
              <c:f>'3.5'!$B$2:$B$5</c:f>
              <c:numCache>
                <c:formatCode>General</c:formatCode>
                <c:ptCount val="3"/>
                <c:pt idx="0">
                  <c:v>105000</c:v>
                </c:pt>
                <c:pt idx="1">
                  <c:v>115500</c:v>
                </c:pt>
                <c:pt idx="2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4E31-BEB7-97C5661C0412}"/>
            </c:ext>
          </c:extLst>
        </c:ser>
        <c:ser>
          <c:idx val="1"/>
          <c:order val="1"/>
          <c:tx>
            <c:strRef>
              <c:f>'3.5'!$C$1</c:f>
              <c:strCache>
                <c:ptCount val="1"/>
                <c:pt idx="0">
                  <c:v>Sum of Personal Traning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'3.5'!$A$2:$A$5</c:f>
              <c:strCache>
                <c:ptCount val="3"/>
                <c:pt idx="0">
                  <c:v>Cape Town</c:v>
                </c:pt>
                <c:pt idx="1">
                  <c:v>Durban</c:v>
                </c:pt>
                <c:pt idx="2">
                  <c:v>Johannesburg</c:v>
                </c:pt>
              </c:strCache>
            </c:strRef>
          </c:cat>
          <c:val>
            <c:numRef>
              <c:f>'3.5'!$C$2:$C$5</c:f>
              <c:numCache>
                <c:formatCode>General</c:formatCode>
                <c:ptCount val="3"/>
                <c:pt idx="0">
                  <c:v>38500</c:v>
                </c:pt>
                <c:pt idx="1">
                  <c:v>40750</c:v>
                </c:pt>
                <c:pt idx="2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6-4E31-BEB7-97C5661C0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6105327"/>
        <c:axId val="2086106159"/>
        <c:axId val="0"/>
      </c:bar3DChart>
      <c:catAx>
        <c:axId val="208610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06159"/>
        <c:crosses val="autoZero"/>
        <c:auto val="1"/>
        <c:lblAlgn val="ctr"/>
        <c:lblOffset val="100"/>
        <c:noMultiLvlLbl val="0"/>
      </c:catAx>
      <c:valAx>
        <c:axId val="20861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[FA2 Excel Koketso Mashego.xlsx]3.6!PivotTable9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'3.6'!$B$1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'3.6'!$A$2:$A$10</c:f>
              <c:multiLvlStrCache>
                <c:ptCount val="5"/>
                <c:lvl>
                  <c:pt idx="0">
                    <c:v>North</c:v>
                  </c:pt>
                  <c:pt idx="1">
                    <c:v>Central</c:v>
                  </c:pt>
                  <c:pt idx="2">
                    <c:v>Elite</c:v>
                  </c:pt>
                  <c:pt idx="3">
                    <c:v>East</c:v>
                  </c:pt>
                  <c:pt idx="4">
                    <c:v>West</c:v>
                  </c:pt>
                </c:lvl>
                <c:lvl>
                  <c:pt idx="0">
                    <c:v>Cape Town</c:v>
                  </c:pt>
                  <c:pt idx="1">
                    <c:v>Durban</c:v>
                  </c:pt>
                  <c:pt idx="3">
                    <c:v>Johannesburg</c:v>
                  </c:pt>
                </c:lvl>
              </c:multiLvlStrCache>
            </c:multiLvlStrRef>
          </c:cat>
          <c:val>
            <c:numRef>
              <c:f>'3.6'!$B$2:$B$10</c:f>
              <c:numCache>
                <c:formatCode>General</c:formatCode>
                <c:ptCount val="5"/>
                <c:pt idx="0">
                  <c:v>12500</c:v>
                </c:pt>
                <c:pt idx="1">
                  <c:v>6500</c:v>
                </c:pt>
                <c:pt idx="2">
                  <c:v>7000</c:v>
                </c:pt>
                <c:pt idx="3">
                  <c:v>8000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6-46B3-9BE4-DF77D3E83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6098255"/>
        <c:axId val="2086101583"/>
        <c:axId val="2075461871"/>
      </c:bar3DChart>
      <c:catAx>
        <c:axId val="20860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01583"/>
        <c:crosses val="autoZero"/>
        <c:auto val="1"/>
        <c:lblAlgn val="ctr"/>
        <c:lblOffset val="100"/>
        <c:noMultiLvlLbl val="0"/>
      </c:catAx>
      <c:valAx>
        <c:axId val="20861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98255"/>
        <c:crosses val="autoZero"/>
        <c:crossBetween val="between"/>
      </c:valAx>
      <c:serAx>
        <c:axId val="2075461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015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10</xdr:col>
      <xdr:colOff>76200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F1A8C-745F-4DAB-A8E2-448626B25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23812</xdr:rowOff>
    </xdr:from>
    <xdr:to>
      <xdr:col>2</xdr:col>
      <xdr:colOff>1847850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EC8DB-7348-4844-9FED-B2A488966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9</xdr:col>
      <xdr:colOff>323850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55F9D-6BCC-4948-B8D0-D72479FF7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911.504055671299" createdVersion="7" refreshedVersion="7" minRefreshableVersion="3" recordCount="7" xr:uid="{5E56BADF-7AA4-4A12-99AE-74DD912FEF7F}">
  <cacheSource type="worksheet">
    <worksheetSource ref="A2:C1048576" sheet="Q3 3.1 "/>
  </cacheSource>
  <cacheFields count="3">
    <cacheField name="Branch" numFmtId="0">
      <sharedItems containsBlank="1" count="6">
        <s v="North"/>
        <s v="West"/>
        <s v="East"/>
        <s v="Central"/>
        <s v="Elite"/>
        <m/>
      </sharedItems>
    </cacheField>
    <cacheField name="City" numFmtId="0">
      <sharedItems containsBlank="1" count="4">
        <s v="Cape Town"/>
        <s v="Johannesburg"/>
        <s v="Durban"/>
        <m/>
      </sharedItems>
    </cacheField>
    <cacheField name="Memembership Fees Collected" numFmtId="0">
      <sharedItems containsString="0" containsBlank="1" containsNumber="1" containsInteger="1" minValue="85000" maxValue="1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911.513162615738" createdVersion="7" refreshedVersion="7" minRefreshableVersion="3" recordCount="6" xr:uid="{A2CD214C-536A-4A7C-BF49-3398FD0E6056}">
  <cacheSource type="worksheet">
    <worksheetSource ref="A2:D8" sheet="3.2"/>
  </cacheSource>
  <cacheFields count="4">
    <cacheField name="Branch" numFmtId="0">
      <sharedItems count="5">
        <s v="North"/>
        <s v="West"/>
        <s v="East"/>
        <s v="Central"/>
        <s v="Elite"/>
      </sharedItems>
    </cacheField>
    <cacheField name="City" numFmtId="0">
      <sharedItems count="3">
        <s v="Cape Town"/>
        <s v="Johannesburg"/>
        <s v="Durban"/>
      </sharedItems>
    </cacheField>
    <cacheField name="Personal Traning Revenue" numFmtId="0">
      <sharedItems containsSemiMixedTypes="0" containsString="0" containsNumber="1" containsInteger="1" minValue="18500" maxValue="25500"/>
    </cacheField>
    <cacheField name="Operational Expenses" numFmtId="0">
      <sharedItems containsSemiMixedTypes="0" containsString="0" containsNumber="1" containsInteger="1" minValue="50000" maxValue="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911.535022453703" createdVersion="7" refreshedVersion="7" minRefreshableVersion="3" recordCount="6" xr:uid="{590F8974-238B-4A71-9096-5D24A5020DC4}">
  <cacheSource type="worksheet">
    <worksheetSource ref="A2:C8" sheet="3.3"/>
  </cacheSource>
  <cacheFields count="3">
    <cacheField name="Branch" numFmtId="0">
      <sharedItems count="5">
        <s v="North"/>
        <s v="West"/>
        <s v="East"/>
        <s v="Central"/>
        <s v="Elite"/>
      </sharedItems>
    </cacheField>
    <cacheField name="City" numFmtId="0">
      <sharedItems count="3">
        <s v="Cape Town"/>
        <s v="Johannesburg"/>
        <s v="Durban"/>
      </sharedItems>
    </cacheField>
    <cacheField name="Equipment Maintenance" numFmtId="0">
      <sharedItems containsSemiMixedTypes="0" containsString="0" containsNumber="1" containsInteger="1" minValue="50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85000"/>
  </r>
  <r>
    <x v="0"/>
    <x v="0"/>
    <n v="92500"/>
  </r>
  <r>
    <x v="1"/>
    <x v="1"/>
    <n v="110000"/>
  </r>
  <r>
    <x v="2"/>
    <x v="1"/>
    <n v="97000"/>
  </r>
  <r>
    <x v="3"/>
    <x v="2"/>
    <n v="105000"/>
  </r>
  <r>
    <x v="4"/>
    <x v="2"/>
    <n v="99500"/>
  </r>
  <r>
    <x v="5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0000"/>
    <n v="50000"/>
  </r>
  <r>
    <x v="0"/>
    <x v="0"/>
    <n v="18500"/>
    <n v="55000"/>
  </r>
  <r>
    <x v="1"/>
    <x v="1"/>
    <n v="22000"/>
    <n v="65000"/>
  </r>
  <r>
    <x v="2"/>
    <x v="1"/>
    <n v="25500"/>
    <n v="60000"/>
  </r>
  <r>
    <x v="3"/>
    <x v="2"/>
    <n v="19750"/>
    <n v="58500"/>
  </r>
  <r>
    <x v="4"/>
    <x v="2"/>
    <n v="21000"/>
    <n v="57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5000"/>
  </r>
  <r>
    <x v="0"/>
    <x v="0"/>
    <n v="7500"/>
  </r>
  <r>
    <x v="1"/>
    <x v="1"/>
    <n v="6000"/>
  </r>
  <r>
    <x v="2"/>
    <x v="1"/>
    <n v="8000"/>
  </r>
  <r>
    <x v="3"/>
    <x v="2"/>
    <n v="6500"/>
  </r>
  <r>
    <x v="4"/>
    <x v="2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DE4DE-1640-4CD3-90C8-CE966036C6D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9:D22" firstHeaderRow="1" firstDataRow="1" firstDataCol="1"/>
  <pivotFields count="3">
    <pivotField axis="axisRow" showAll="0">
      <items count="7">
        <item x="3"/>
        <item x="2"/>
        <item x="4"/>
        <item x="0"/>
        <item x="1"/>
        <item x="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2">
    <field x="0"/>
    <field x="1"/>
  </rowFields>
  <rowItems count="13">
    <i>
      <x/>
    </i>
    <i r="1">
      <x v="1"/>
    </i>
    <i>
      <x v="1"/>
    </i>
    <i r="1">
      <x v="2"/>
    </i>
    <i>
      <x v="2"/>
    </i>
    <i r="1">
      <x v="1"/>
    </i>
    <i>
      <x v="3"/>
    </i>
    <i r="1">
      <x/>
    </i>
    <i>
      <x v="4"/>
    </i>
    <i r="1">
      <x v="2"/>
    </i>
    <i>
      <x v="5"/>
    </i>
    <i r="1">
      <x v="3"/>
    </i>
    <i t="grand">
      <x/>
    </i>
  </rowItems>
  <colItems count="1">
    <i/>
  </colItems>
  <dataFields count="1">
    <dataField name="Sum of Memembership Fees Collecte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2A2F4-8510-402D-A57F-CB5CA8F056B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C14" firstHeaderRow="0" firstDataRow="1" firstDataCol="1"/>
  <pivotFields count="4">
    <pivotField showAll="0">
      <items count="6">
        <item x="3"/>
        <item x="2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onal Expenses" fld="3" baseField="0" baseItem="0"/>
    <dataField name="Sum of Personal Traning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E6A48-1589-4AE6-8458-70BE2A091E75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B19" firstHeaderRow="1" firstDataRow="1" firstDataCol="1"/>
  <pivotFields count="3">
    <pivotField axis="axisRow" showAll="0">
      <items count="6">
        <item x="3"/>
        <item x="2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1"/>
    <field x="0"/>
  </rowFields>
  <rowItems count="9">
    <i>
      <x/>
    </i>
    <i r="1">
      <x v="3"/>
    </i>
    <i>
      <x v="1"/>
    </i>
    <i r="1">
      <x/>
    </i>
    <i r="1">
      <x v="2"/>
    </i>
    <i>
      <x v="2"/>
    </i>
    <i r="1">
      <x v="1"/>
    </i>
    <i r="1">
      <x v="4"/>
    </i>
    <i t="grand">
      <x/>
    </i>
  </rowItems>
  <colItems count="1">
    <i/>
  </colItems>
  <dataFields count="1">
    <dataField name="Sum of Equipment Maintenan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60B73-49B6-481C-A2D9-9D0B7B6BA6B4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:B10" firstHeaderRow="1" firstDataRow="1" firstDataCol="1"/>
  <pivotFields count="3">
    <pivotField axis="axisRow" showAll="0">
      <items count="6">
        <item x="3"/>
        <item x="2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1"/>
    <field x="0"/>
  </rowFields>
  <rowItems count="9">
    <i>
      <x/>
    </i>
    <i r="1">
      <x v="3"/>
    </i>
    <i>
      <x v="1"/>
    </i>
    <i r="1">
      <x/>
    </i>
    <i r="1">
      <x v="2"/>
    </i>
    <i>
      <x v="2"/>
    </i>
    <i r="1">
      <x v="1"/>
    </i>
    <i r="1">
      <x v="4"/>
    </i>
    <i t="grand">
      <x/>
    </i>
  </rowItems>
  <colItems count="1">
    <i/>
  </colItems>
  <dataFields count="1">
    <dataField name="Sum of Equipment Maintenance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C89A4-C99A-4C83-9D96-AF99BDC8A32A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:C5" firstHeaderRow="0" firstDataRow="1" firstDataCol="1"/>
  <pivotFields count="4">
    <pivotField showAll="0">
      <items count="6">
        <item x="3"/>
        <item x="2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onal Expenses" fld="3" baseField="0" baseItem="0"/>
    <dataField name="Sum of Personal Traning Revenue" fld="2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FE82D-9608-451F-B894-B1BCC834D043}" name="PivotTable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A1:B10" firstHeaderRow="1" firstDataRow="1" firstDataCol="1"/>
  <pivotFields count="3">
    <pivotField axis="axisRow" showAll="0">
      <items count="6">
        <item x="3"/>
        <item x="2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1"/>
    <field x="0"/>
  </rowFields>
  <rowItems count="9">
    <i>
      <x/>
    </i>
    <i r="1">
      <x v="3"/>
    </i>
    <i>
      <x v="1"/>
    </i>
    <i r="1">
      <x/>
    </i>
    <i r="1">
      <x v="2"/>
    </i>
    <i>
      <x v="2"/>
    </i>
    <i r="1">
      <x v="1"/>
    </i>
    <i r="1">
      <x v="4"/>
    </i>
    <i t="grand">
      <x/>
    </i>
  </rowItems>
  <colItems count="1">
    <i/>
  </colItems>
  <dataFields count="1">
    <dataField name="Sum of Equipment Maintenance" fld="2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4.xml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5.xml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6.xml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9D87-85B0-447C-9D0E-E213F057FC2A}">
  <dimension ref="A1:I7"/>
  <sheetViews>
    <sheetView tabSelected="1" workbookViewId="0">
      <selection activeCell="G10" sqref="G10"/>
    </sheetView>
  </sheetViews>
  <sheetFormatPr defaultRowHeight="15" x14ac:dyDescent="0.2"/>
  <cols>
    <col min="1" max="1" width="11.8359375" bestFit="1" customWidth="1"/>
    <col min="2" max="2" width="9.68359375" customWidth="1"/>
    <col min="7" max="7" width="15.33203125" customWidth="1"/>
    <col min="8" max="8" width="13.85546875" bestFit="1" customWidth="1"/>
    <col min="9" max="9" width="12.10546875" bestFit="1" customWidth="1"/>
  </cols>
  <sheetData>
    <row r="1" spans="1:9" x14ac:dyDescent="0.2">
      <c r="A1" s="10" t="s">
        <v>0</v>
      </c>
      <c r="B1" s="10"/>
      <c r="C1" s="10"/>
      <c r="D1" s="10"/>
      <c r="E1" s="10"/>
      <c r="I1" s="1">
        <v>0.155</v>
      </c>
    </row>
    <row r="2" spans="1: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">
      <c r="A3" t="s">
        <v>10</v>
      </c>
      <c r="B3" s="2">
        <v>5</v>
      </c>
      <c r="C3">
        <v>120</v>
      </c>
      <c r="D3">
        <v>150</v>
      </c>
      <c r="E3">
        <v>180</v>
      </c>
      <c r="F3">
        <v>200</v>
      </c>
      <c r="G3">
        <v>650</v>
      </c>
    </row>
    <row r="4" spans="1:9" x14ac:dyDescent="0.2">
      <c r="A4" t="s">
        <v>11</v>
      </c>
      <c r="B4" s="2">
        <v>3</v>
      </c>
      <c r="C4">
        <v>200</v>
      </c>
      <c r="D4">
        <v>180</v>
      </c>
      <c r="E4">
        <v>220</v>
      </c>
      <c r="F4">
        <v>240</v>
      </c>
      <c r="G4">
        <v>840</v>
      </c>
    </row>
    <row r="5" spans="1:9" x14ac:dyDescent="0.2">
      <c r="A5" t="s">
        <v>12</v>
      </c>
      <c r="B5" s="2">
        <v>15</v>
      </c>
      <c r="C5">
        <v>80</v>
      </c>
      <c r="D5">
        <v>100</v>
      </c>
      <c r="E5">
        <v>90</v>
      </c>
      <c r="F5">
        <v>110</v>
      </c>
      <c r="G5">
        <v>380</v>
      </c>
    </row>
    <row r="6" spans="1:9" x14ac:dyDescent="0.2">
      <c r="A6" t="s">
        <v>13</v>
      </c>
      <c r="B6" s="2">
        <v>12</v>
      </c>
      <c r="C6">
        <v>90</v>
      </c>
      <c r="D6">
        <v>110</v>
      </c>
      <c r="E6">
        <v>130</v>
      </c>
      <c r="F6">
        <v>140</v>
      </c>
      <c r="G6">
        <v>470</v>
      </c>
    </row>
    <row r="7" spans="1:9" x14ac:dyDescent="0.2">
      <c r="A7" t="s">
        <v>14</v>
      </c>
      <c r="B7" s="2">
        <v>30</v>
      </c>
      <c r="C7">
        <v>60</v>
      </c>
      <c r="D7">
        <v>75</v>
      </c>
      <c r="E7">
        <v>85</v>
      </c>
      <c r="F7">
        <v>95</v>
      </c>
      <c r="G7">
        <v>315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A5ED-6F29-42A2-9C79-2E86C6082E80}">
  <dimension ref="A1:C7"/>
  <sheetViews>
    <sheetView workbookViewId="0">
      <selection activeCell="B3" sqref="B3:B7"/>
    </sheetView>
  </sheetViews>
  <sheetFormatPr defaultRowHeight="15" x14ac:dyDescent="0.2"/>
  <cols>
    <col min="1" max="1" width="11.8359375" bestFit="1" customWidth="1"/>
    <col min="2" max="2" width="9.55078125" bestFit="1" customWidth="1"/>
  </cols>
  <sheetData>
    <row r="1" spans="1:3" x14ac:dyDescent="0.2">
      <c r="A1" s="10" t="s">
        <v>0</v>
      </c>
      <c r="B1" s="10"/>
      <c r="C1" s="10"/>
    </row>
    <row r="2" spans="1:3" x14ac:dyDescent="0.2">
      <c r="A2" t="s">
        <v>1</v>
      </c>
      <c r="B2" t="s">
        <v>2</v>
      </c>
    </row>
    <row r="3" spans="1:3" x14ac:dyDescent="0.2">
      <c r="A3" t="s">
        <v>15</v>
      </c>
      <c r="B3" s="2"/>
    </row>
    <row r="4" spans="1:3" x14ac:dyDescent="0.2">
      <c r="A4" t="s">
        <v>11</v>
      </c>
      <c r="B4" s="2"/>
    </row>
    <row r="5" spans="1:3" x14ac:dyDescent="0.2">
      <c r="A5" t="s">
        <v>12</v>
      </c>
      <c r="B5" s="2"/>
    </row>
    <row r="6" spans="1:3" x14ac:dyDescent="0.2">
      <c r="A6" t="s">
        <v>13</v>
      </c>
      <c r="B6" s="2"/>
    </row>
    <row r="7" spans="1:3" x14ac:dyDescent="0.2">
      <c r="A7" t="s">
        <v>14</v>
      </c>
      <c r="B7" s="2"/>
    </row>
  </sheetData>
  <mergeCells count="1">
    <mergeCell ref="A1:C1"/>
  </mergeCells>
  <dataValidations count="1">
    <dataValidation allowBlank="1" showInputMessage="1" showErrorMessage="1" promptTitle="Unit price" prompt="Only a price can be entered." sqref="B3:B7" xr:uid="{9868B641-DA12-4FAC-9A32-0E588990D6EB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2FB5-0E0C-426A-BCA5-CCB1037562FE}">
  <dimension ref="A1:H7"/>
  <sheetViews>
    <sheetView workbookViewId="0">
      <selection activeCell="H1" sqref="H1:H1048576"/>
    </sheetView>
  </sheetViews>
  <sheetFormatPr defaultRowHeight="15" x14ac:dyDescent="0.2"/>
  <cols>
    <col min="8" max="8" width="13.85546875" bestFit="1" customWidth="1"/>
  </cols>
  <sheetData>
    <row r="1" spans="1:8" x14ac:dyDescent="0.2">
      <c r="A1" s="10" t="s">
        <v>0</v>
      </c>
      <c r="B1" s="10"/>
      <c r="C1" s="10"/>
      <c r="D1" s="10"/>
      <c r="E1" s="10"/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10</v>
      </c>
      <c r="B3" s="2">
        <v>5</v>
      </c>
      <c r="C3">
        <v>120</v>
      </c>
      <c r="D3">
        <v>150</v>
      </c>
      <c r="E3">
        <v>180</v>
      </c>
      <c r="F3">
        <v>200</v>
      </c>
      <c r="G3">
        <v>650</v>
      </c>
    </row>
    <row r="4" spans="1:8" x14ac:dyDescent="0.2">
      <c r="A4" t="s">
        <v>11</v>
      </c>
      <c r="B4" s="2">
        <v>3</v>
      </c>
      <c r="C4">
        <v>200</v>
      </c>
      <c r="D4">
        <v>180</v>
      </c>
      <c r="E4">
        <v>220</v>
      </c>
      <c r="F4">
        <v>240</v>
      </c>
      <c r="G4">
        <v>840</v>
      </c>
    </row>
    <row r="5" spans="1:8" x14ac:dyDescent="0.2">
      <c r="A5" t="s">
        <v>12</v>
      </c>
      <c r="B5" s="2">
        <v>15</v>
      </c>
      <c r="C5">
        <v>80</v>
      </c>
      <c r="D5">
        <v>100</v>
      </c>
      <c r="E5">
        <v>90</v>
      </c>
      <c r="F5">
        <v>110</v>
      </c>
      <c r="G5">
        <v>380</v>
      </c>
    </row>
    <row r="6" spans="1:8" x14ac:dyDescent="0.2">
      <c r="A6" t="s">
        <v>13</v>
      </c>
      <c r="B6" s="2">
        <v>12</v>
      </c>
      <c r="C6">
        <v>90</v>
      </c>
      <c r="D6">
        <v>110</v>
      </c>
      <c r="E6">
        <v>130</v>
      </c>
      <c r="F6">
        <v>140</v>
      </c>
      <c r="G6">
        <v>470</v>
      </c>
    </row>
    <row r="7" spans="1:8" x14ac:dyDescent="0.2">
      <c r="A7" t="s">
        <v>14</v>
      </c>
      <c r="B7" s="2">
        <v>30</v>
      </c>
      <c r="C7">
        <v>60</v>
      </c>
      <c r="D7">
        <v>75</v>
      </c>
      <c r="E7">
        <v>85</v>
      </c>
      <c r="F7">
        <v>95</v>
      </c>
      <c r="G7">
        <v>315</v>
      </c>
    </row>
  </sheetData>
  <mergeCells count="1">
    <mergeCell ref="A1:E1"/>
  </mergeCells>
  <dataValidations count="1">
    <dataValidation type="whole" allowBlank="1" showInputMessage="1" showErrorMessage="1" promptTitle="Total Revenue" prompt="Please enter only whole number values." sqref="H1:H1048576" xr:uid="{27550DC6-131F-4A70-B590-E6051079D886}">
      <formula1>1</formula1>
      <formula2>1000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0C12-820B-470C-9379-B9D6E3C7AA95}">
  <dimension ref="A1:H7"/>
  <sheetViews>
    <sheetView workbookViewId="0">
      <selection activeCell="H3" sqref="H3"/>
    </sheetView>
  </sheetViews>
  <sheetFormatPr defaultRowHeight="15" x14ac:dyDescent="0.2"/>
  <cols>
    <col min="8" max="8" width="13.85546875" bestFit="1" customWidth="1"/>
  </cols>
  <sheetData>
    <row r="1" spans="1:8" x14ac:dyDescent="0.2">
      <c r="A1" s="10" t="s">
        <v>0</v>
      </c>
      <c r="B1" s="10"/>
      <c r="C1" s="10"/>
      <c r="D1" s="10"/>
      <c r="E1" s="10"/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10</v>
      </c>
      <c r="B3" s="2">
        <v>5</v>
      </c>
      <c r="C3">
        <v>120</v>
      </c>
      <c r="D3">
        <v>150</v>
      </c>
      <c r="E3">
        <v>180</v>
      </c>
      <c r="F3">
        <v>200</v>
      </c>
      <c r="G3">
        <v>650</v>
      </c>
    </row>
    <row r="4" spans="1:8" x14ac:dyDescent="0.2">
      <c r="A4" t="s">
        <v>11</v>
      </c>
      <c r="B4" s="2">
        <v>3</v>
      </c>
      <c r="C4">
        <v>200</v>
      </c>
      <c r="D4">
        <v>180</v>
      </c>
      <c r="E4">
        <v>220</v>
      </c>
      <c r="F4">
        <v>240</v>
      </c>
      <c r="G4">
        <v>840</v>
      </c>
    </row>
    <row r="5" spans="1:8" x14ac:dyDescent="0.2">
      <c r="A5" t="s">
        <v>12</v>
      </c>
      <c r="B5" s="2">
        <v>15</v>
      </c>
      <c r="C5">
        <v>80</v>
      </c>
      <c r="D5">
        <v>100</v>
      </c>
      <c r="E5">
        <v>90</v>
      </c>
      <c r="F5">
        <v>110</v>
      </c>
      <c r="G5">
        <v>380</v>
      </c>
    </row>
    <row r="6" spans="1:8" x14ac:dyDescent="0.2">
      <c r="A6" t="s">
        <v>13</v>
      </c>
      <c r="B6" s="2">
        <v>12</v>
      </c>
      <c r="C6">
        <v>90</v>
      </c>
      <c r="D6">
        <v>110</v>
      </c>
      <c r="E6">
        <v>130</v>
      </c>
      <c r="F6">
        <v>140</v>
      </c>
      <c r="G6">
        <v>470</v>
      </c>
    </row>
    <row r="7" spans="1:8" x14ac:dyDescent="0.2">
      <c r="A7" t="s">
        <v>14</v>
      </c>
      <c r="B7" s="2">
        <v>30</v>
      </c>
      <c r="C7">
        <v>60</v>
      </c>
      <c r="D7">
        <v>75</v>
      </c>
      <c r="E7">
        <v>85</v>
      </c>
      <c r="F7">
        <v>95</v>
      </c>
      <c r="G7">
        <v>315</v>
      </c>
    </row>
  </sheetData>
  <mergeCells count="1">
    <mergeCell ref="A1:E1"/>
  </mergeCells>
  <dataValidations count="1">
    <dataValidation type="whole" allowBlank="1" showInputMessage="1" showErrorMessage="1" errorTitle="Total Revenue" error="Invalid entry! Only whole numbers are allowed." promptTitle="Total Revenue" prompt="Whole number is only allowed" sqref="H3:H7" xr:uid="{922FB554-3FFA-4787-88CE-0754359B5115}">
      <formula1>1</formula1>
      <formula2>10000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FD1B-E92D-4A3B-BF20-DCDC1F08E27F}">
  <dimension ref="A1:H7"/>
  <sheetViews>
    <sheetView workbookViewId="0">
      <selection activeCell="A2" sqref="A2:XFD2"/>
    </sheetView>
  </sheetViews>
  <sheetFormatPr defaultRowHeight="15" x14ac:dyDescent="0.2"/>
  <cols>
    <col min="8" max="8" width="13.85546875" bestFit="1" customWidth="1"/>
  </cols>
  <sheetData>
    <row r="1" spans="1:8" x14ac:dyDescent="0.2">
      <c r="A1" s="10" t="s">
        <v>0</v>
      </c>
      <c r="B1" s="10"/>
      <c r="C1" s="10"/>
      <c r="D1" s="10"/>
      <c r="E1" s="10"/>
    </row>
    <row r="2" spans="1:8" s="9" customForma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pans="1:8" x14ac:dyDescent="0.2">
      <c r="A3" t="s">
        <v>10</v>
      </c>
      <c r="B3" s="2">
        <v>5</v>
      </c>
      <c r="C3">
        <v>120</v>
      </c>
      <c r="D3">
        <v>150</v>
      </c>
      <c r="E3">
        <v>180</v>
      </c>
      <c r="F3">
        <v>200</v>
      </c>
      <c r="G3">
        <v>650</v>
      </c>
      <c r="H3" s="2">
        <f>B3*G3</f>
        <v>3250</v>
      </c>
    </row>
    <row r="4" spans="1:8" x14ac:dyDescent="0.2">
      <c r="A4" t="s">
        <v>11</v>
      </c>
      <c r="B4" s="2">
        <v>3</v>
      </c>
      <c r="C4">
        <v>200</v>
      </c>
      <c r="D4">
        <v>180</v>
      </c>
      <c r="E4">
        <v>220</v>
      </c>
      <c r="F4">
        <v>240</v>
      </c>
      <c r="G4">
        <v>840</v>
      </c>
      <c r="H4" s="2">
        <f t="shared" ref="H4:H6" si="0">B4*G4</f>
        <v>2520</v>
      </c>
    </row>
    <row r="5" spans="1:8" x14ac:dyDescent="0.2">
      <c r="A5" t="s">
        <v>12</v>
      </c>
      <c r="B5" s="2">
        <v>15</v>
      </c>
      <c r="C5">
        <v>80</v>
      </c>
      <c r="D5">
        <v>100</v>
      </c>
      <c r="E5">
        <v>90</v>
      </c>
      <c r="F5">
        <v>110</v>
      </c>
      <c r="G5">
        <v>380</v>
      </c>
      <c r="H5" s="2">
        <f t="shared" si="0"/>
        <v>5700</v>
      </c>
    </row>
    <row r="6" spans="1:8" x14ac:dyDescent="0.2">
      <c r="A6" t="s">
        <v>13</v>
      </c>
      <c r="B6" s="2">
        <v>12</v>
      </c>
      <c r="C6">
        <v>90</v>
      </c>
      <c r="D6">
        <v>110</v>
      </c>
      <c r="E6">
        <v>130</v>
      </c>
      <c r="F6">
        <v>140</v>
      </c>
      <c r="G6">
        <v>470</v>
      </c>
      <c r="H6" s="2">
        <f t="shared" si="0"/>
        <v>5640</v>
      </c>
    </row>
    <row r="7" spans="1:8" x14ac:dyDescent="0.2">
      <c r="A7" t="s">
        <v>14</v>
      </c>
      <c r="B7" s="2">
        <v>30</v>
      </c>
      <c r="C7">
        <v>60</v>
      </c>
      <c r="D7">
        <v>75</v>
      </c>
      <c r="E7">
        <v>85</v>
      </c>
      <c r="F7">
        <v>95</v>
      </c>
      <c r="G7">
        <v>315</v>
      </c>
      <c r="H7" s="2">
        <f>B7*G7</f>
        <v>9450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A93A-9836-4A35-A2A4-8456507862DF}">
  <dimension ref="A1:I7"/>
  <sheetViews>
    <sheetView workbookViewId="0">
      <selection activeCell="I1" sqref="I1:I1048576"/>
    </sheetView>
  </sheetViews>
  <sheetFormatPr defaultRowHeight="15" x14ac:dyDescent="0.2"/>
  <cols>
    <col min="8" max="8" width="13.85546875" bestFit="1" customWidth="1"/>
    <col min="9" max="9" width="12.10546875" bestFit="1" customWidth="1"/>
  </cols>
  <sheetData>
    <row r="1" spans="1:9" x14ac:dyDescent="0.2">
      <c r="A1" s="10" t="s">
        <v>0</v>
      </c>
      <c r="B1" s="10"/>
      <c r="C1" s="10"/>
      <c r="D1" s="10"/>
      <c r="E1" s="10"/>
      <c r="I1" s="1">
        <v>0.155</v>
      </c>
    </row>
    <row r="2" spans="1:9" s="9" customForma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x14ac:dyDescent="0.2">
      <c r="A3" t="s">
        <v>10</v>
      </c>
      <c r="B3" s="2">
        <v>5</v>
      </c>
      <c r="C3">
        <v>120</v>
      </c>
      <c r="D3">
        <v>150</v>
      </c>
      <c r="E3">
        <v>180</v>
      </c>
      <c r="F3">
        <v>200</v>
      </c>
      <c r="G3">
        <v>650</v>
      </c>
    </row>
    <row r="4" spans="1:9" x14ac:dyDescent="0.2">
      <c r="A4" t="s">
        <v>11</v>
      </c>
      <c r="B4" s="2">
        <v>3</v>
      </c>
      <c r="C4">
        <v>200</v>
      </c>
      <c r="D4">
        <v>180</v>
      </c>
      <c r="E4">
        <v>220</v>
      </c>
      <c r="F4">
        <v>240</v>
      </c>
      <c r="G4">
        <v>840</v>
      </c>
    </row>
    <row r="5" spans="1:9" x14ac:dyDescent="0.2">
      <c r="A5" t="s">
        <v>12</v>
      </c>
      <c r="B5" s="2">
        <v>15</v>
      </c>
      <c r="C5">
        <v>80</v>
      </c>
      <c r="D5">
        <v>100</v>
      </c>
      <c r="E5">
        <v>90</v>
      </c>
      <c r="F5">
        <v>110</v>
      </c>
      <c r="G5">
        <v>380</v>
      </c>
    </row>
    <row r="6" spans="1:9" x14ac:dyDescent="0.2">
      <c r="A6" t="s">
        <v>13</v>
      </c>
      <c r="B6" s="2">
        <v>12</v>
      </c>
      <c r="C6">
        <v>90</v>
      </c>
      <c r="D6">
        <v>110</v>
      </c>
      <c r="E6">
        <v>130</v>
      </c>
      <c r="F6">
        <v>140</v>
      </c>
      <c r="G6">
        <v>470</v>
      </c>
    </row>
    <row r="7" spans="1:9" x14ac:dyDescent="0.2">
      <c r="A7" t="s">
        <v>14</v>
      </c>
      <c r="B7" s="2">
        <v>30</v>
      </c>
      <c r="C7">
        <v>60</v>
      </c>
      <c r="D7">
        <v>75</v>
      </c>
      <c r="E7">
        <v>85</v>
      </c>
      <c r="F7">
        <v>95</v>
      </c>
      <c r="G7">
        <v>315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E185-7A1D-46DE-837A-3BE40432B6FF}">
  <dimension ref="A1:I7"/>
  <sheetViews>
    <sheetView workbookViewId="0">
      <selection activeCell="A2" sqref="A2:XFD2"/>
    </sheetView>
  </sheetViews>
  <sheetFormatPr defaultRowHeight="15" x14ac:dyDescent="0.2"/>
  <cols>
    <col min="8" max="8" width="13.85546875" bestFit="1" customWidth="1"/>
    <col min="9" max="9" width="13.046875" bestFit="1" customWidth="1"/>
  </cols>
  <sheetData>
    <row r="1" spans="1:9" x14ac:dyDescent="0.2">
      <c r="A1" s="10" t="s">
        <v>0</v>
      </c>
      <c r="B1" s="10"/>
      <c r="C1" s="10"/>
      <c r="D1" s="10"/>
      <c r="E1" s="10"/>
      <c r="I1" s="1">
        <v>0.155</v>
      </c>
    </row>
    <row r="2" spans="1:9" s="9" customForma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x14ac:dyDescent="0.2">
      <c r="A3" t="s">
        <v>10</v>
      </c>
      <c r="B3" s="2">
        <v>5</v>
      </c>
      <c r="C3">
        <v>120</v>
      </c>
      <c r="D3">
        <v>150</v>
      </c>
      <c r="E3">
        <v>180</v>
      </c>
      <c r="F3">
        <v>200</v>
      </c>
      <c r="G3">
        <v>650</v>
      </c>
      <c r="H3" s="2">
        <f>B3*G3</f>
        <v>3250</v>
      </c>
      <c r="I3" s="3">
        <f>H3*I1</f>
        <v>503.75</v>
      </c>
    </row>
    <row r="4" spans="1:9" x14ac:dyDescent="0.2">
      <c r="A4" t="s">
        <v>11</v>
      </c>
      <c r="B4" s="2">
        <v>3</v>
      </c>
      <c r="C4">
        <v>200</v>
      </c>
      <c r="D4">
        <v>180</v>
      </c>
      <c r="E4">
        <v>220</v>
      </c>
      <c r="F4">
        <v>240</v>
      </c>
      <c r="G4">
        <v>840</v>
      </c>
      <c r="H4" s="2">
        <f t="shared" ref="H4:H7" si="0">B4*G4</f>
        <v>2520</v>
      </c>
      <c r="I4" s="3">
        <f>H4*I1</f>
        <v>390.6</v>
      </c>
    </row>
    <row r="5" spans="1:9" x14ac:dyDescent="0.2">
      <c r="A5" t="s">
        <v>12</v>
      </c>
      <c r="B5" s="2">
        <v>15</v>
      </c>
      <c r="C5">
        <v>80</v>
      </c>
      <c r="D5">
        <v>100</v>
      </c>
      <c r="E5">
        <v>90</v>
      </c>
      <c r="F5">
        <v>110</v>
      </c>
      <c r="G5">
        <v>380</v>
      </c>
      <c r="H5" s="2">
        <f t="shared" si="0"/>
        <v>5700</v>
      </c>
      <c r="I5" s="3">
        <f>H5*I1</f>
        <v>883.5</v>
      </c>
    </row>
    <row r="6" spans="1:9" x14ac:dyDescent="0.2">
      <c r="A6" t="s">
        <v>13</v>
      </c>
      <c r="B6" s="2">
        <v>12</v>
      </c>
      <c r="C6">
        <v>90</v>
      </c>
      <c r="D6">
        <v>110</v>
      </c>
      <c r="E6">
        <v>130</v>
      </c>
      <c r="F6">
        <v>140</v>
      </c>
      <c r="G6">
        <v>470</v>
      </c>
      <c r="H6" s="2">
        <f t="shared" si="0"/>
        <v>5640</v>
      </c>
      <c r="I6" s="3">
        <f>H6*I1</f>
        <v>874.2</v>
      </c>
    </row>
    <row r="7" spans="1:9" x14ac:dyDescent="0.2">
      <c r="A7" t="s">
        <v>14</v>
      </c>
      <c r="B7" s="2">
        <v>30</v>
      </c>
      <c r="C7">
        <v>60</v>
      </c>
      <c r="D7">
        <v>75</v>
      </c>
      <c r="E7">
        <v>85</v>
      </c>
      <c r="F7">
        <v>95</v>
      </c>
      <c r="G7">
        <v>315</v>
      </c>
      <c r="H7" s="2">
        <f t="shared" si="0"/>
        <v>9450</v>
      </c>
      <c r="I7" s="3">
        <f>H7*I1</f>
        <v>1464.75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9CE7-A8BA-4AA7-AA2F-5674B4A66276}">
  <dimension ref="A1:F13"/>
  <sheetViews>
    <sheetView workbookViewId="0">
      <selection activeCell="E18" sqref="E18"/>
    </sheetView>
  </sheetViews>
  <sheetFormatPr defaultRowHeight="15" x14ac:dyDescent="0.2"/>
  <cols>
    <col min="1" max="1" width="12.375" customWidth="1"/>
    <col min="2" max="2" width="12.9140625" customWidth="1"/>
    <col min="4" max="4" width="20.84765625" customWidth="1"/>
    <col min="6" max="6" width="21.92578125" customWidth="1"/>
  </cols>
  <sheetData>
    <row r="1" spans="1:6" s="9" customFormat="1" x14ac:dyDescent="0.2">
      <c r="A1" s="11" t="s">
        <v>16</v>
      </c>
      <c r="B1" s="11"/>
      <c r="C1" s="11"/>
      <c r="D1" s="11"/>
    </row>
    <row r="2" spans="1:6" x14ac:dyDescent="0.2">
      <c r="A2" t="s">
        <v>17</v>
      </c>
      <c r="B2" t="s">
        <v>18</v>
      </c>
    </row>
    <row r="3" spans="1:6" x14ac:dyDescent="0.2">
      <c r="A3" t="s">
        <v>19</v>
      </c>
      <c r="B3" t="s">
        <v>20</v>
      </c>
      <c r="C3" s="4"/>
      <c r="E3" t="s">
        <v>21</v>
      </c>
    </row>
    <row r="4" spans="1:6" x14ac:dyDescent="0.2">
      <c r="A4" t="s">
        <v>22</v>
      </c>
      <c r="B4" t="s">
        <v>23</v>
      </c>
      <c r="C4" s="4"/>
      <c r="E4" t="s">
        <v>19</v>
      </c>
      <c r="F4" t="str">
        <f>VLOOKUP(A3,A3:C8,2,FALSE)</f>
        <v>Gold</v>
      </c>
    </row>
    <row r="5" spans="1:6" x14ac:dyDescent="0.2">
      <c r="A5" t="s">
        <v>24</v>
      </c>
      <c r="B5" t="s">
        <v>25</v>
      </c>
      <c r="C5" s="4"/>
      <c r="E5" t="s">
        <v>26</v>
      </c>
      <c r="F5" t="str">
        <f t="shared" ref="F5:F8" si="0">VLOOKUP(A4,A4:C9,2,FALSE)</f>
        <v>Silver</v>
      </c>
    </row>
    <row r="6" spans="1:6" x14ac:dyDescent="0.2">
      <c r="A6" t="s">
        <v>27</v>
      </c>
      <c r="B6" t="s">
        <v>20</v>
      </c>
      <c r="C6" s="4"/>
      <c r="E6" t="s">
        <v>28</v>
      </c>
      <c r="F6" t="str">
        <f t="shared" si="0"/>
        <v xml:space="preserve"> Bronze</v>
      </c>
    </row>
    <row r="7" spans="1:6" x14ac:dyDescent="0.2">
      <c r="A7" t="s">
        <v>29</v>
      </c>
      <c r="B7" t="s">
        <v>23</v>
      </c>
      <c r="C7" s="4"/>
      <c r="E7" t="s">
        <v>29</v>
      </c>
      <c r="F7" t="str">
        <f t="shared" si="0"/>
        <v>Gold</v>
      </c>
    </row>
    <row r="8" spans="1:6" x14ac:dyDescent="0.2">
      <c r="A8" t="s">
        <v>30</v>
      </c>
      <c r="B8" t="s">
        <v>25</v>
      </c>
      <c r="C8" s="4"/>
      <c r="E8" t="s">
        <v>30</v>
      </c>
      <c r="F8" t="str">
        <f t="shared" si="0"/>
        <v>Silver</v>
      </c>
    </row>
    <row r="11" spans="1:6" x14ac:dyDescent="0.2">
      <c r="B11" s="4"/>
    </row>
    <row r="12" spans="1:6" x14ac:dyDescent="0.2">
      <c r="B12" s="4"/>
    </row>
    <row r="13" spans="1:6" x14ac:dyDescent="0.2">
      <c r="B13" s="4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FD9C-1DFC-469C-A175-1C97DF618797}">
  <dimension ref="A1:G13"/>
  <sheetViews>
    <sheetView workbookViewId="0">
      <selection activeCell="D18" sqref="D18"/>
    </sheetView>
  </sheetViews>
  <sheetFormatPr defaultRowHeight="15" x14ac:dyDescent="0.2"/>
  <cols>
    <col min="1" max="1" width="12.375" bestFit="1" customWidth="1"/>
    <col min="2" max="3" width="14.390625" bestFit="1" customWidth="1"/>
    <col min="4" max="4" width="27.3046875" customWidth="1"/>
    <col min="5" max="5" width="12.375" bestFit="1" customWidth="1"/>
    <col min="6" max="6" width="11.703125" bestFit="1" customWidth="1"/>
    <col min="7" max="7" width="20.04296875" customWidth="1"/>
    <col min="8" max="8" width="18.29296875" customWidth="1"/>
  </cols>
  <sheetData>
    <row r="1" spans="1:7" x14ac:dyDescent="0.2">
      <c r="A1" s="10" t="s">
        <v>16</v>
      </c>
      <c r="B1" s="10"/>
      <c r="C1" s="10"/>
      <c r="D1" s="10"/>
    </row>
    <row r="2" spans="1:7" s="9" customFormat="1" x14ac:dyDescent="0.2">
      <c r="A2" s="9" t="s">
        <v>17</v>
      </c>
      <c r="B2" s="9" t="s">
        <v>31</v>
      </c>
      <c r="C2" s="9" t="s">
        <v>32</v>
      </c>
      <c r="D2" s="9" t="s">
        <v>35</v>
      </c>
      <c r="E2" s="9" t="s">
        <v>18</v>
      </c>
      <c r="F2" s="9" t="s">
        <v>40</v>
      </c>
      <c r="G2" s="9" t="s">
        <v>37</v>
      </c>
    </row>
    <row r="3" spans="1:7" x14ac:dyDescent="0.2">
      <c r="A3" t="s">
        <v>19</v>
      </c>
      <c r="B3" s="2">
        <v>14000</v>
      </c>
      <c r="C3">
        <v>45</v>
      </c>
      <c r="D3">
        <v>40</v>
      </c>
      <c r="E3" t="s">
        <v>20</v>
      </c>
      <c r="F3" s="2">
        <f>B3*B11+B3</f>
        <v>16800</v>
      </c>
      <c r="G3" t="b">
        <f t="shared" ref="G3:G8" si="0">IF(D3&gt;C3,"No Bonus awarded")</f>
        <v>0</v>
      </c>
    </row>
    <row r="4" spans="1:7" x14ac:dyDescent="0.2">
      <c r="A4" t="s">
        <v>26</v>
      </c>
      <c r="B4" s="2">
        <v>12500</v>
      </c>
      <c r="C4">
        <v>30</v>
      </c>
      <c r="D4">
        <v>35</v>
      </c>
      <c r="E4" t="s">
        <v>36</v>
      </c>
      <c r="F4" s="2">
        <f>B4*B12+B4</f>
        <v>13750</v>
      </c>
      <c r="G4" t="str">
        <f t="shared" si="0"/>
        <v>No Bonus awarded</v>
      </c>
    </row>
    <row r="5" spans="1:7" x14ac:dyDescent="0.2">
      <c r="A5" t="s">
        <v>24</v>
      </c>
      <c r="B5" s="2">
        <v>9800</v>
      </c>
      <c r="C5">
        <v>22</v>
      </c>
      <c r="D5">
        <v>25</v>
      </c>
      <c r="E5" t="s">
        <v>33</v>
      </c>
      <c r="F5" s="2">
        <f>B5*B13+B5</f>
        <v>10290</v>
      </c>
      <c r="G5" t="str">
        <f t="shared" si="0"/>
        <v>No Bonus awarded</v>
      </c>
    </row>
    <row r="6" spans="1:7" x14ac:dyDescent="0.2">
      <c r="A6" t="s">
        <v>27</v>
      </c>
      <c r="B6" s="2">
        <v>16000</v>
      </c>
      <c r="C6">
        <v>55</v>
      </c>
      <c r="D6">
        <v>50</v>
      </c>
      <c r="E6" t="s">
        <v>20</v>
      </c>
      <c r="F6" s="2">
        <f>B6*B11+B6</f>
        <v>19200</v>
      </c>
      <c r="G6" t="b">
        <f t="shared" si="0"/>
        <v>0</v>
      </c>
    </row>
    <row r="7" spans="1:7" x14ac:dyDescent="0.2">
      <c r="A7" t="s">
        <v>29</v>
      </c>
      <c r="B7" s="2">
        <v>10300</v>
      </c>
      <c r="C7">
        <v>28</v>
      </c>
      <c r="D7">
        <v>30</v>
      </c>
      <c r="E7" t="s">
        <v>23</v>
      </c>
      <c r="F7" s="2">
        <f>B7*B12+B7</f>
        <v>11330</v>
      </c>
      <c r="G7" t="str">
        <f t="shared" si="0"/>
        <v>No Bonus awarded</v>
      </c>
    </row>
    <row r="8" spans="1:7" x14ac:dyDescent="0.2">
      <c r="A8" t="s">
        <v>30</v>
      </c>
      <c r="B8" s="2">
        <v>8900</v>
      </c>
      <c r="C8">
        <v>18</v>
      </c>
      <c r="D8">
        <v>25</v>
      </c>
      <c r="E8" t="s">
        <v>33</v>
      </c>
      <c r="F8" s="2">
        <f>B8*B13+B8</f>
        <v>9345</v>
      </c>
      <c r="G8" t="str">
        <f t="shared" si="0"/>
        <v>No Bonus awarded</v>
      </c>
    </row>
    <row r="10" spans="1:7" s="9" customFormat="1" x14ac:dyDescent="0.2">
      <c r="A10" s="9" t="s">
        <v>18</v>
      </c>
      <c r="B10" s="9" t="s">
        <v>34</v>
      </c>
    </row>
    <row r="11" spans="1:7" x14ac:dyDescent="0.2">
      <c r="A11" t="s">
        <v>20</v>
      </c>
      <c r="B11" s="4">
        <v>0.2</v>
      </c>
    </row>
    <row r="12" spans="1:7" x14ac:dyDescent="0.2">
      <c r="A12" t="s">
        <v>23</v>
      </c>
      <c r="B12" s="4">
        <v>0.1</v>
      </c>
    </row>
    <row r="13" spans="1:7" x14ac:dyDescent="0.2">
      <c r="A13" t="s">
        <v>33</v>
      </c>
      <c r="B13" s="4">
        <v>0.05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961B-420E-409D-BA68-3F64D8051104}">
  <dimension ref="A1:G9"/>
  <sheetViews>
    <sheetView workbookViewId="0">
      <selection activeCell="D13" sqref="D13"/>
    </sheetView>
  </sheetViews>
  <sheetFormatPr defaultRowHeight="15" x14ac:dyDescent="0.2"/>
  <cols>
    <col min="1" max="1" width="12.375" bestFit="1" customWidth="1"/>
    <col min="2" max="3" width="14.390625" bestFit="1" customWidth="1"/>
    <col min="4" max="4" width="17.3515625" bestFit="1" customWidth="1"/>
    <col min="5" max="5" width="12.375" bestFit="1" customWidth="1"/>
    <col min="6" max="6" width="20.3125" bestFit="1" customWidth="1"/>
  </cols>
  <sheetData>
    <row r="1" spans="1:7" x14ac:dyDescent="0.2">
      <c r="A1" s="10" t="s">
        <v>16</v>
      </c>
      <c r="B1" s="10"/>
      <c r="C1" s="10"/>
      <c r="D1" s="10"/>
      <c r="E1" s="10"/>
    </row>
    <row r="2" spans="1:7" s="9" customFormat="1" x14ac:dyDescent="0.2">
      <c r="A2" s="9" t="s">
        <v>17</v>
      </c>
      <c r="B2" s="9" t="s">
        <v>31</v>
      </c>
      <c r="C2" s="9" t="s">
        <v>32</v>
      </c>
      <c r="D2" s="9" t="s">
        <v>38</v>
      </c>
      <c r="E2" s="9" t="s">
        <v>18</v>
      </c>
      <c r="F2" s="9" t="s">
        <v>34</v>
      </c>
      <c r="G2" s="9" t="s">
        <v>39</v>
      </c>
    </row>
    <row r="3" spans="1:7" x14ac:dyDescent="0.2">
      <c r="A3" t="s">
        <v>19</v>
      </c>
      <c r="B3" s="2">
        <v>14000</v>
      </c>
      <c r="C3">
        <v>45</v>
      </c>
      <c r="D3">
        <v>40</v>
      </c>
      <c r="E3" t="s">
        <v>20</v>
      </c>
      <c r="F3" s="4">
        <v>0.2</v>
      </c>
      <c r="G3" s="2">
        <f>B3*F3+B3</f>
        <v>16800</v>
      </c>
    </row>
    <row r="4" spans="1:7" x14ac:dyDescent="0.2">
      <c r="A4" t="s">
        <v>27</v>
      </c>
      <c r="B4" s="2">
        <v>16000</v>
      </c>
      <c r="C4">
        <v>55</v>
      </c>
      <c r="D4">
        <v>50</v>
      </c>
      <c r="E4" t="s">
        <v>20</v>
      </c>
      <c r="F4" s="4">
        <v>0.2</v>
      </c>
      <c r="G4" s="2">
        <f>B4*F4+B4</f>
        <v>19200</v>
      </c>
    </row>
    <row r="7" spans="1:7" x14ac:dyDescent="0.2">
      <c r="B7" s="4"/>
    </row>
    <row r="8" spans="1:7" x14ac:dyDescent="0.2">
      <c r="B8" s="4"/>
    </row>
    <row r="9" spans="1:7" x14ac:dyDescent="0.2">
      <c r="B9" s="4"/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52CD-398B-46F0-80F2-89D1D7FBA290}">
  <dimension ref="A1:D22"/>
  <sheetViews>
    <sheetView workbookViewId="0">
      <selection activeCell="C2" sqref="C2"/>
    </sheetView>
  </sheetViews>
  <sheetFormatPr defaultRowHeight="15" x14ac:dyDescent="0.2"/>
  <cols>
    <col min="2" max="2" width="13.44921875" bestFit="1" customWidth="1"/>
    <col min="3" max="3" width="29.0546875" bestFit="1" customWidth="1"/>
    <col min="4" max="4" width="36.05078125" bestFit="1" customWidth="1"/>
  </cols>
  <sheetData>
    <row r="1" spans="1:4" x14ac:dyDescent="0.2">
      <c r="A1" s="10" t="s">
        <v>41</v>
      </c>
      <c r="B1" s="10"/>
      <c r="C1" s="10"/>
    </row>
    <row r="2" spans="1:4" s="9" customFormat="1" x14ac:dyDescent="0.2">
      <c r="A2" s="9" t="s">
        <v>42</v>
      </c>
      <c r="B2" s="9" t="s">
        <v>43</v>
      </c>
      <c r="C2" s="9" t="s">
        <v>44</v>
      </c>
    </row>
    <row r="3" spans="1:4" x14ac:dyDescent="0.2">
      <c r="A3" t="s">
        <v>45</v>
      </c>
      <c r="B3" t="s">
        <v>52</v>
      </c>
      <c r="C3">
        <v>85000</v>
      </c>
    </row>
    <row r="4" spans="1:4" x14ac:dyDescent="0.2">
      <c r="A4" t="s">
        <v>45</v>
      </c>
      <c r="B4" t="s">
        <v>52</v>
      </c>
      <c r="C4">
        <v>92500</v>
      </c>
    </row>
    <row r="5" spans="1:4" x14ac:dyDescent="0.2">
      <c r="A5" t="s">
        <v>46</v>
      </c>
      <c r="B5" t="s">
        <v>51</v>
      </c>
      <c r="C5">
        <v>110000</v>
      </c>
    </row>
    <row r="6" spans="1:4" x14ac:dyDescent="0.2">
      <c r="A6" t="s">
        <v>47</v>
      </c>
      <c r="B6" t="s">
        <v>51</v>
      </c>
      <c r="C6">
        <v>97000</v>
      </c>
    </row>
    <row r="7" spans="1:4" x14ac:dyDescent="0.2">
      <c r="A7" t="s">
        <v>48</v>
      </c>
      <c r="B7" t="s">
        <v>50</v>
      </c>
      <c r="C7">
        <v>105000</v>
      </c>
    </row>
    <row r="8" spans="1:4" x14ac:dyDescent="0.2">
      <c r="A8" t="s">
        <v>49</v>
      </c>
      <c r="B8" t="s">
        <v>50</v>
      </c>
      <c r="C8">
        <v>99500</v>
      </c>
    </row>
    <row r="9" spans="1:4" x14ac:dyDescent="0.2">
      <c r="C9" s="6" t="s">
        <v>54</v>
      </c>
      <c r="D9" t="s">
        <v>53</v>
      </c>
    </row>
    <row r="10" spans="1:4" x14ac:dyDescent="0.2">
      <c r="C10" s="7" t="s">
        <v>48</v>
      </c>
      <c r="D10" s="5">
        <v>105000</v>
      </c>
    </row>
    <row r="11" spans="1:4" x14ac:dyDescent="0.2">
      <c r="C11" s="8" t="s">
        <v>50</v>
      </c>
      <c r="D11" s="5">
        <v>105000</v>
      </c>
    </row>
    <row r="12" spans="1:4" x14ac:dyDescent="0.2">
      <c r="C12" s="7" t="s">
        <v>47</v>
      </c>
      <c r="D12" s="5">
        <v>97000</v>
      </c>
    </row>
    <row r="13" spans="1:4" x14ac:dyDescent="0.2">
      <c r="C13" s="8" t="s">
        <v>51</v>
      </c>
      <c r="D13" s="5">
        <v>97000</v>
      </c>
    </row>
    <row r="14" spans="1:4" x14ac:dyDescent="0.2">
      <c r="C14" s="7" t="s">
        <v>49</v>
      </c>
      <c r="D14" s="5">
        <v>99500</v>
      </c>
    </row>
    <row r="15" spans="1:4" x14ac:dyDescent="0.2">
      <c r="C15" s="8" t="s">
        <v>50</v>
      </c>
      <c r="D15" s="5">
        <v>99500</v>
      </c>
    </row>
    <row r="16" spans="1:4" x14ac:dyDescent="0.2">
      <c r="C16" s="7" t="s">
        <v>45</v>
      </c>
      <c r="D16" s="5">
        <v>177500</v>
      </c>
    </row>
    <row r="17" spans="3:4" x14ac:dyDescent="0.2">
      <c r="C17" s="8" t="s">
        <v>52</v>
      </c>
      <c r="D17" s="5">
        <v>177500</v>
      </c>
    </row>
    <row r="18" spans="3:4" x14ac:dyDescent="0.2">
      <c r="C18" s="7" t="s">
        <v>46</v>
      </c>
      <c r="D18" s="5">
        <v>110000</v>
      </c>
    </row>
    <row r="19" spans="3:4" x14ac:dyDescent="0.2">
      <c r="C19" s="8" t="s">
        <v>51</v>
      </c>
      <c r="D19" s="5">
        <v>110000</v>
      </c>
    </row>
    <row r="20" spans="3:4" x14ac:dyDescent="0.2">
      <c r="C20" s="7" t="s">
        <v>55</v>
      </c>
      <c r="D20" s="5"/>
    </row>
    <row r="21" spans="3:4" x14ac:dyDescent="0.2">
      <c r="C21" s="8" t="s">
        <v>55</v>
      </c>
      <c r="D21" s="5"/>
    </row>
    <row r="22" spans="3:4" x14ac:dyDescent="0.2">
      <c r="C22" s="7" t="s">
        <v>56</v>
      </c>
      <c r="D22" s="5">
        <v>589000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32C4-F181-4D6C-B0F1-DCAD5D286BFA}">
  <dimension ref="A1:D14"/>
  <sheetViews>
    <sheetView workbookViewId="0">
      <selection activeCell="C21" sqref="C21"/>
    </sheetView>
  </sheetViews>
  <sheetFormatPr defaultRowHeight="15" x14ac:dyDescent="0.2"/>
  <cols>
    <col min="1" max="1" width="13.44921875" bestFit="1" customWidth="1"/>
    <col min="2" max="2" width="27.44140625" bestFit="1" customWidth="1"/>
    <col min="3" max="3" width="31.34375" bestFit="1" customWidth="1"/>
    <col min="4" max="4" width="20.58203125" bestFit="1" customWidth="1"/>
  </cols>
  <sheetData>
    <row r="1" spans="1:4" x14ac:dyDescent="0.2">
      <c r="A1" s="10" t="s">
        <v>41</v>
      </c>
      <c r="B1" s="10"/>
      <c r="C1" s="10"/>
      <c r="D1" s="10"/>
    </row>
    <row r="2" spans="1:4" s="9" customFormat="1" x14ac:dyDescent="0.2">
      <c r="A2" s="9" t="s">
        <v>42</v>
      </c>
      <c r="B2" s="9" t="s">
        <v>43</v>
      </c>
      <c r="C2" s="9" t="s">
        <v>57</v>
      </c>
      <c r="D2" s="9" t="s">
        <v>58</v>
      </c>
    </row>
    <row r="3" spans="1:4" x14ac:dyDescent="0.2">
      <c r="A3" t="s">
        <v>45</v>
      </c>
      <c r="B3" t="s">
        <v>52</v>
      </c>
      <c r="C3">
        <v>20000</v>
      </c>
      <c r="D3">
        <v>50000</v>
      </c>
    </row>
    <row r="4" spans="1:4" x14ac:dyDescent="0.2">
      <c r="A4" t="s">
        <v>45</v>
      </c>
      <c r="B4" t="s">
        <v>52</v>
      </c>
      <c r="C4">
        <v>18500</v>
      </c>
      <c r="D4">
        <v>55000</v>
      </c>
    </row>
    <row r="5" spans="1:4" x14ac:dyDescent="0.2">
      <c r="A5" t="s">
        <v>46</v>
      </c>
      <c r="B5" t="s">
        <v>51</v>
      </c>
      <c r="C5">
        <v>22000</v>
      </c>
      <c r="D5">
        <v>65000</v>
      </c>
    </row>
    <row r="6" spans="1:4" x14ac:dyDescent="0.2">
      <c r="A6" t="s">
        <v>47</v>
      </c>
      <c r="B6" t="s">
        <v>51</v>
      </c>
      <c r="C6">
        <v>25500</v>
      </c>
      <c r="D6">
        <v>60000</v>
      </c>
    </row>
    <row r="7" spans="1:4" x14ac:dyDescent="0.2">
      <c r="A7" t="s">
        <v>48</v>
      </c>
      <c r="B7" t="s">
        <v>50</v>
      </c>
      <c r="C7">
        <v>19750</v>
      </c>
      <c r="D7">
        <v>58500</v>
      </c>
    </row>
    <row r="8" spans="1:4" x14ac:dyDescent="0.2">
      <c r="A8" t="s">
        <v>49</v>
      </c>
      <c r="B8" t="s">
        <v>50</v>
      </c>
      <c r="C8">
        <v>21000</v>
      </c>
      <c r="D8">
        <v>57000</v>
      </c>
    </row>
    <row r="10" spans="1:4" x14ac:dyDescent="0.2">
      <c r="A10" s="6" t="s">
        <v>54</v>
      </c>
      <c r="B10" t="s">
        <v>60</v>
      </c>
      <c r="C10" t="s">
        <v>59</v>
      </c>
    </row>
    <row r="11" spans="1:4" x14ac:dyDescent="0.2">
      <c r="A11" s="7" t="s">
        <v>52</v>
      </c>
      <c r="B11" s="5">
        <v>105000</v>
      </c>
      <c r="C11" s="5">
        <v>38500</v>
      </c>
    </row>
    <row r="12" spans="1:4" x14ac:dyDescent="0.2">
      <c r="A12" s="7" t="s">
        <v>50</v>
      </c>
      <c r="B12" s="5">
        <v>115500</v>
      </c>
      <c r="C12" s="5">
        <v>40750</v>
      </c>
    </row>
    <row r="13" spans="1:4" x14ac:dyDescent="0.2">
      <c r="A13" s="7" t="s">
        <v>51</v>
      </c>
      <c r="B13" s="5">
        <v>125000</v>
      </c>
      <c r="C13" s="5">
        <v>47500</v>
      </c>
    </row>
    <row r="14" spans="1:4" x14ac:dyDescent="0.2">
      <c r="A14" s="7" t="s">
        <v>56</v>
      </c>
      <c r="B14" s="5">
        <v>345500</v>
      </c>
      <c r="C14" s="5">
        <v>126750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D62F-D0EB-4A67-A304-38182E134E2C}">
  <dimension ref="A1:D19"/>
  <sheetViews>
    <sheetView workbookViewId="0">
      <selection activeCell="A10" sqref="A10:B19"/>
    </sheetView>
  </sheetViews>
  <sheetFormatPr defaultRowHeight="15" x14ac:dyDescent="0.2"/>
  <cols>
    <col min="1" max="1" width="15.33203125" bestFit="1" customWidth="1"/>
    <col min="2" max="2" width="30.1328125" bestFit="1" customWidth="1"/>
    <col min="3" max="3" width="23.13671875" bestFit="1" customWidth="1"/>
  </cols>
  <sheetData>
    <row r="1" spans="1:4" x14ac:dyDescent="0.2">
      <c r="A1" s="10" t="s">
        <v>41</v>
      </c>
      <c r="B1" s="10"/>
      <c r="C1" s="10"/>
      <c r="D1" s="10"/>
    </row>
    <row r="2" spans="1:4" x14ac:dyDescent="0.2">
      <c r="A2" t="s">
        <v>42</v>
      </c>
      <c r="B2" t="s">
        <v>43</v>
      </c>
      <c r="C2" t="s">
        <v>61</v>
      </c>
    </row>
    <row r="3" spans="1:4" x14ac:dyDescent="0.2">
      <c r="A3" t="s">
        <v>45</v>
      </c>
      <c r="B3" t="s">
        <v>52</v>
      </c>
      <c r="C3">
        <v>5000</v>
      </c>
    </row>
    <row r="4" spans="1:4" x14ac:dyDescent="0.2">
      <c r="A4" t="s">
        <v>45</v>
      </c>
      <c r="B4" t="s">
        <v>52</v>
      </c>
      <c r="C4">
        <v>7500</v>
      </c>
    </row>
    <row r="5" spans="1:4" x14ac:dyDescent="0.2">
      <c r="A5" t="s">
        <v>46</v>
      </c>
      <c r="B5" t="s">
        <v>51</v>
      </c>
      <c r="C5">
        <v>6000</v>
      </c>
    </row>
    <row r="6" spans="1:4" x14ac:dyDescent="0.2">
      <c r="A6" t="s">
        <v>47</v>
      </c>
      <c r="B6" t="s">
        <v>51</v>
      </c>
      <c r="C6">
        <v>8000</v>
      </c>
    </row>
    <row r="7" spans="1:4" x14ac:dyDescent="0.2">
      <c r="A7" t="s">
        <v>48</v>
      </c>
      <c r="B7" t="s">
        <v>50</v>
      </c>
      <c r="C7">
        <v>6500</v>
      </c>
    </row>
    <row r="8" spans="1:4" x14ac:dyDescent="0.2">
      <c r="A8" t="s">
        <v>49</v>
      </c>
      <c r="B8" t="s">
        <v>50</v>
      </c>
      <c r="C8">
        <v>7000</v>
      </c>
    </row>
    <row r="10" spans="1:4" x14ac:dyDescent="0.2">
      <c r="A10" s="6" t="s">
        <v>54</v>
      </c>
      <c r="B10" t="s">
        <v>62</v>
      </c>
    </row>
    <row r="11" spans="1:4" x14ac:dyDescent="0.2">
      <c r="A11" s="7" t="s">
        <v>52</v>
      </c>
      <c r="B11" s="5">
        <v>12500</v>
      </c>
    </row>
    <row r="12" spans="1:4" x14ac:dyDescent="0.2">
      <c r="A12" s="8" t="s">
        <v>45</v>
      </c>
      <c r="B12" s="5">
        <v>12500</v>
      </c>
    </row>
    <row r="13" spans="1:4" x14ac:dyDescent="0.2">
      <c r="A13" s="7" t="s">
        <v>50</v>
      </c>
      <c r="B13" s="5">
        <v>13500</v>
      </c>
    </row>
    <row r="14" spans="1:4" x14ac:dyDescent="0.2">
      <c r="A14" s="8" t="s">
        <v>48</v>
      </c>
      <c r="B14" s="5">
        <v>6500</v>
      </c>
    </row>
    <row r="15" spans="1:4" x14ac:dyDescent="0.2">
      <c r="A15" s="8" t="s">
        <v>49</v>
      </c>
      <c r="B15" s="5">
        <v>7000</v>
      </c>
    </row>
    <row r="16" spans="1:4" x14ac:dyDescent="0.2">
      <c r="A16" s="7" t="s">
        <v>51</v>
      </c>
      <c r="B16" s="5">
        <v>14000</v>
      </c>
    </row>
    <row r="17" spans="1:2" x14ac:dyDescent="0.2">
      <c r="A17" s="8" t="s">
        <v>47</v>
      </c>
      <c r="B17" s="5">
        <v>8000</v>
      </c>
    </row>
    <row r="18" spans="1:2" x14ac:dyDescent="0.2">
      <c r="A18" s="8" t="s">
        <v>46</v>
      </c>
      <c r="B18" s="5">
        <v>6000</v>
      </c>
    </row>
    <row r="19" spans="1:2" x14ac:dyDescent="0.2">
      <c r="A19" s="7" t="s">
        <v>56</v>
      </c>
      <c r="B19" s="5">
        <v>40000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E020-7C67-41E4-A53C-29C96C9E0933}">
  <dimension ref="A1:B10"/>
  <sheetViews>
    <sheetView workbookViewId="0"/>
  </sheetViews>
  <sheetFormatPr defaultRowHeight="15" x14ac:dyDescent="0.2"/>
  <cols>
    <col min="1" max="1" width="15.33203125" bestFit="1" customWidth="1"/>
    <col min="2" max="2" width="30.1328125" bestFit="1" customWidth="1"/>
  </cols>
  <sheetData>
    <row r="1" spans="1:2" x14ac:dyDescent="0.2">
      <c r="A1" s="6" t="s">
        <v>54</v>
      </c>
      <c r="B1" t="s">
        <v>62</v>
      </c>
    </row>
    <row r="2" spans="1:2" x14ac:dyDescent="0.2">
      <c r="A2" s="7" t="s">
        <v>52</v>
      </c>
      <c r="B2" s="5">
        <v>12500</v>
      </c>
    </row>
    <row r="3" spans="1:2" x14ac:dyDescent="0.2">
      <c r="A3" s="8" t="s">
        <v>45</v>
      </c>
      <c r="B3" s="5">
        <v>12500</v>
      </c>
    </row>
    <row r="4" spans="1:2" x14ac:dyDescent="0.2">
      <c r="A4" s="7" t="s">
        <v>50</v>
      </c>
      <c r="B4" s="5">
        <v>13500</v>
      </c>
    </row>
    <row r="5" spans="1:2" x14ac:dyDescent="0.2">
      <c r="A5" s="8" t="s">
        <v>48</v>
      </c>
      <c r="B5" s="5">
        <v>6500</v>
      </c>
    </row>
    <row r="6" spans="1:2" x14ac:dyDescent="0.2">
      <c r="A6" s="8" t="s">
        <v>49</v>
      </c>
      <c r="B6" s="5">
        <v>7000</v>
      </c>
    </row>
    <row r="7" spans="1:2" x14ac:dyDescent="0.2">
      <c r="A7" s="7" t="s">
        <v>51</v>
      </c>
      <c r="B7" s="5">
        <v>14000</v>
      </c>
    </row>
    <row r="8" spans="1:2" x14ac:dyDescent="0.2">
      <c r="A8" s="8" t="s">
        <v>47</v>
      </c>
      <c r="B8" s="5">
        <v>8000</v>
      </c>
    </row>
    <row r="9" spans="1:2" x14ac:dyDescent="0.2">
      <c r="A9" s="8" t="s">
        <v>46</v>
      </c>
      <c r="B9" s="5">
        <v>6000</v>
      </c>
    </row>
    <row r="10" spans="1:2" x14ac:dyDescent="0.2">
      <c r="A10" s="7" t="s">
        <v>56</v>
      </c>
      <c r="B10" s="5">
        <v>40000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FEB6-E16D-49B1-9F3C-FFEF868F7BCD}">
  <dimension ref="A1:C5"/>
  <sheetViews>
    <sheetView workbookViewId="0">
      <selection activeCell="D12" sqref="D12"/>
    </sheetView>
  </sheetViews>
  <sheetFormatPr defaultRowHeight="15" x14ac:dyDescent="0.2"/>
  <cols>
    <col min="1" max="1" width="13.44921875" bestFit="1" customWidth="1"/>
    <col min="2" max="2" width="27.44140625" bestFit="1" customWidth="1"/>
    <col min="3" max="3" width="31.34375" bestFit="1" customWidth="1"/>
  </cols>
  <sheetData>
    <row r="1" spans="1:3" x14ac:dyDescent="0.2">
      <c r="A1" s="6" t="s">
        <v>54</v>
      </c>
      <c r="B1" s="6" t="s">
        <v>60</v>
      </c>
      <c r="C1" t="s">
        <v>59</v>
      </c>
    </row>
    <row r="2" spans="1:3" x14ac:dyDescent="0.2">
      <c r="A2" s="7" t="s">
        <v>52</v>
      </c>
      <c r="B2" s="5">
        <v>105000</v>
      </c>
      <c r="C2" s="5">
        <v>38500</v>
      </c>
    </row>
    <row r="3" spans="1:3" x14ac:dyDescent="0.2">
      <c r="A3" s="7" t="s">
        <v>50</v>
      </c>
      <c r="B3" s="5">
        <v>115500</v>
      </c>
      <c r="C3" s="5">
        <v>40750</v>
      </c>
    </row>
    <row r="4" spans="1:3" x14ac:dyDescent="0.2">
      <c r="A4" s="7" t="s">
        <v>51</v>
      </c>
      <c r="B4" s="5">
        <v>125000</v>
      </c>
      <c r="C4" s="5">
        <v>47500</v>
      </c>
    </row>
    <row r="5" spans="1:3" x14ac:dyDescent="0.2">
      <c r="A5" s="7" t="s">
        <v>56</v>
      </c>
      <c r="B5" s="5">
        <v>345500</v>
      </c>
      <c r="C5" s="5">
        <v>126750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E19F-52C0-4F85-B942-6DA6B69BFC5B}">
  <dimension ref="A1:B10"/>
  <sheetViews>
    <sheetView workbookViewId="0">
      <selection activeCell="M13" sqref="M13"/>
    </sheetView>
  </sheetViews>
  <sheetFormatPr defaultRowHeight="15" x14ac:dyDescent="0.2"/>
  <cols>
    <col min="1" max="1" width="15.33203125" bestFit="1" customWidth="1"/>
    <col min="2" max="2" width="30.1328125" bestFit="1" customWidth="1"/>
  </cols>
  <sheetData>
    <row r="1" spans="1:2" x14ac:dyDescent="0.2">
      <c r="A1" s="6" t="s">
        <v>54</v>
      </c>
      <c r="B1" t="s">
        <v>62</v>
      </c>
    </row>
    <row r="2" spans="1:2" x14ac:dyDescent="0.2">
      <c r="A2" s="7" t="s">
        <v>52</v>
      </c>
      <c r="B2" s="5">
        <v>12500</v>
      </c>
    </row>
    <row r="3" spans="1:2" x14ac:dyDescent="0.2">
      <c r="A3" s="8" t="s">
        <v>45</v>
      </c>
      <c r="B3" s="5">
        <v>12500</v>
      </c>
    </row>
    <row r="4" spans="1:2" x14ac:dyDescent="0.2">
      <c r="A4" s="7" t="s">
        <v>50</v>
      </c>
      <c r="B4" s="5">
        <v>13500</v>
      </c>
    </row>
    <row r="5" spans="1:2" x14ac:dyDescent="0.2">
      <c r="A5" s="8" t="s">
        <v>48</v>
      </c>
      <c r="B5" s="5">
        <v>6500</v>
      </c>
    </row>
    <row r="6" spans="1:2" x14ac:dyDescent="0.2">
      <c r="A6" s="8" t="s">
        <v>49</v>
      </c>
      <c r="B6" s="5">
        <v>7000</v>
      </c>
    </row>
    <row r="7" spans="1:2" x14ac:dyDescent="0.2">
      <c r="A7" s="7" t="s">
        <v>51</v>
      </c>
      <c r="B7" s="5">
        <v>14000</v>
      </c>
    </row>
    <row r="8" spans="1:2" x14ac:dyDescent="0.2">
      <c r="A8" s="8" t="s">
        <v>47</v>
      </c>
      <c r="B8" s="5">
        <v>8000</v>
      </c>
    </row>
    <row r="9" spans="1:2" x14ac:dyDescent="0.2">
      <c r="A9" s="8" t="s">
        <v>46</v>
      </c>
      <c r="B9" s="5">
        <v>6000</v>
      </c>
    </row>
    <row r="10" spans="1:2" x14ac:dyDescent="0.2">
      <c r="A10" s="7" t="s">
        <v>56</v>
      </c>
      <c r="B10" s="5">
        <v>40000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6C57-633F-4EE6-8D39-CCA9D0448E71}">
  <dimension ref="A1:C2"/>
  <sheetViews>
    <sheetView workbookViewId="0">
      <selection activeCell="G29" sqref="G29"/>
    </sheetView>
  </sheetViews>
  <sheetFormatPr defaultRowHeight="15" x14ac:dyDescent="0.2"/>
  <cols>
    <col min="1" max="1" width="28.25" bestFit="1" customWidth="1"/>
    <col min="2" max="2" width="19.50390625" bestFit="1" customWidth="1"/>
  </cols>
  <sheetData>
    <row r="1" spans="1:3" x14ac:dyDescent="0.2">
      <c r="A1" t="s">
        <v>64</v>
      </c>
      <c r="B1" t="s">
        <v>65</v>
      </c>
      <c r="C1" t="s">
        <v>63</v>
      </c>
    </row>
    <row r="2" spans="1:3" x14ac:dyDescent="0.2">
      <c r="A2">
        <v>60</v>
      </c>
      <c r="B2">
        <v>300</v>
      </c>
      <c r="C2">
        <f>A2*B2</f>
        <v>18000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F48F-3436-4F07-AA5A-3A3949CB0197}">
  <dimension ref="A1:D4"/>
  <sheetViews>
    <sheetView zoomScaleNormal="100" workbookViewId="0">
      <selection activeCell="D2" sqref="D2"/>
    </sheetView>
  </sheetViews>
  <sheetFormatPr defaultRowHeight="15" x14ac:dyDescent="0.2"/>
  <cols>
    <col min="1" max="1" width="34.83984375" bestFit="1" customWidth="1"/>
    <col min="2" max="2" width="20.3125" bestFit="1" customWidth="1"/>
    <col min="3" max="3" width="24.2109375" bestFit="1" customWidth="1"/>
  </cols>
  <sheetData>
    <row r="1" spans="1:4" x14ac:dyDescent="0.2">
      <c r="A1" t="s">
        <v>66</v>
      </c>
      <c r="B1" t="s">
        <v>67</v>
      </c>
      <c r="C1" t="s">
        <v>68</v>
      </c>
    </row>
    <row r="2" spans="1:4" x14ac:dyDescent="0.2">
      <c r="A2" s="2">
        <v>30</v>
      </c>
      <c r="B2">
        <v>1000</v>
      </c>
      <c r="C2" s="2">
        <v>65</v>
      </c>
      <c r="D2" s="2">
        <f>B2*A2</f>
        <v>30000</v>
      </c>
    </row>
    <row r="3" spans="1:4" x14ac:dyDescent="0.2">
      <c r="D3" s="2"/>
    </row>
    <row r="4" spans="1:4" x14ac:dyDescent="0.2">
      <c r="D4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008B8A987BC248895610C646588719" ma:contentTypeVersion="6" ma:contentTypeDescription="Create a new document." ma:contentTypeScope="" ma:versionID="08a337bc32885e1767e9256267ff8970">
  <xsd:schema xmlns:xsd="http://www.w3.org/2001/XMLSchema" xmlns:xs="http://www.w3.org/2001/XMLSchema" xmlns:p="http://schemas.microsoft.com/office/2006/metadata/properties" xmlns:ns3="7aa4535e-a583-4ca1-be32-d5fd91c03f92" targetNamespace="http://schemas.microsoft.com/office/2006/metadata/properties" ma:root="true" ma:fieldsID="69a877dc116ec9fa6ae27c68a170c75b" ns3:_="">
    <xsd:import namespace="7aa4535e-a583-4ca1-be32-d5fd91c03f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4535e-a583-4ca1-be32-d5fd91c03f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a4535e-a583-4ca1-be32-d5fd91c03f92" xsi:nil="true"/>
  </documentManagement>
</p:properties>
</file>

<file path=customXml/itemProps1.xml><?xml version="1.0" encoding="utf-8"?>
<ds:datastoreItem xmlns:ds="http://schemas.openxmlformats.org/officeDocument/2006/customXml" ds:itemID="{8184F158-6D0C-440A-B228-D39FB39769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55F807-D040-45D7-883D-B578B65BD96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aa4535e-a583-4ca1-be32-d5fd91c03f92"/>
  </ds:schemaRefs>
</ds:datastoreItem>
</file>

<file path=customXml/itemProps3.xml><?xml version="1.0" encoding="utf-8"?>
<ds:datastoreItem xmlns:ds="http://schemas.openxmlformats.org/officeDocument/2006/customXml" ds:itemID="{50A102A8-54ED-48C7-93C7-18B8EA8D99FD}">
  <ds:schemaRefs>
    <ds:schemaRef ds:uri="http://schemas.microsoft.com/office/2006/metadata/properties"/>
    <ds:schemaRef ds:uri="http://www.w3.org/2000/xmlns/"/>
    <ds:schemaRef ds:uri="7aa4535e-a583-4ca1-be32-d5fd91c03f92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Q1 1.1</vt:lpstr>
      <vt:lpstr>1.2</vt:lpstr>
      <vt:lpstr>1.3</vt:lpstr>
      <vt:lpstr>1.4</vt:lpstr>
      <vt:lpstr>1.5</vt:lpstr>
      <vt:lpstr>1.6</vt:lpstr>
      <vt:lpstr>1.7</vt:lpstr>
      <vt:lpstr>Q2.1</vt:lpstr>
      <vt:lpstr>2.2</vt:lpstr>
      <vt:lpstr>2.3</vt:lpstr>
      <vt:lpstr>Q3 3.1 </vt:lpstr>
      <vt:lpstr>3.2</vt:lpstr>
      <vt:lpstr>3.3</vt:lpstr>
      <vt:lpstr>3.4</vt:lpstr>
      <vt:lpstr>3.5</vt:lpstr>
      <vt:lpstr>3.6</vt:lpstr>
      <vt:lpstr>Q4 4.1</vt:lpstr>
      <vt:lpstr>4.2</vt:lpstr>
      <vt:lpstr>VATE_RATE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Koketso</dc:creator>
  <cp:keywords/>
  <dc:description/>
  <cp:lastModifiedBy>Koketso Mashego</cp:lastModifiedBy>
  <cp:revision/>
  <dcterms:created xsi:type="dcterms:W3CDTF">2025-09-08T08:32:38Z</dcterms:created>
  <dcterms:modified xsi:type="dcterms:W3CDTF">2025-09-15T08:29:03Z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0x01010047008B8A987BC248895610C646588719</vt:lpwstr>
  </property>
</Properties>
</file>